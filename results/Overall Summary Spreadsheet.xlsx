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uni-my.sharepoint.com/personal/mkh6113_autuni_ac_nz/Documents/01. Papers/09. Dissertation/4.0 Projects/xai-traffic-prediction/results/"/>
    </mc:Choice>
  </mc:AlternateContent>
  <xr:revisionPtr revIDLastSave="49" documentId="8_{A2658411-CB57-4561-ABAE-3EEAA1A9B6A4}" xr6:coauthVersionLast="47" xr6:coauthVersionMax="47" xr10:uidLastSave="{950EE70A-3409-4732-8E92-80B6BDF32C36}"/>
  <bookViews>
    <workbookView xWindow="-120" yWindow="-120" windowWidth="29040" windowHeight="15720" activeTab="2" xr2:uid="{474D6C29-51C4-4AF7-B1DC-362806789A32}"/>
  </bookViews>
  <sheets>
    <sheet name="Summary" sheetId="1" r:id="rId1"/>
    <sheet name="Per_Detector" sheetId="2" r:id="rId2"/>
    <sheet name="Per_detector upd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</calcChain>
</file>

<file path=xl/sharedStrings.xml><?xml version="1.0" encoding="utf-8"?>
<sst xmlns="http://schemas.openxmlformats.org/spreadsheetml/2006/main" count="68" uniqueCount="48">
  <si>
    <t>metric</t>
  </si>
  <si>
    <t>baseline</t>
  </si>
  <si>
    <t>new</t>
  </si>
  <si>
    <t>improved</t>
  </si>
  <si>
    <t>Simulation end time (s)</t>
  </si>
  <si>
    <t>Total arrived vehicles</t>
  </si>
  <si>
    <t>Total teleports</t>
  </si>
  <si>
    <t>Vehicles still running at end</t>
  </si>
  <si>
    <t>Vehicles waiting at end</t>
  </si>
  <si>
    <t>Avg. mean speed over steps (m/s)</t>
  </si>
  <si>
    <t>Mean travel time at end (s)</t>
  </si>
  <si>
    <t>Avg. mean waiting time over steps (s)</t>
  </si>
  <si>
    <t># summary steps</t>
  </si>
  <si>
    <t>Detector interval rows</t>
  </si>
  <si>
    <t>Detector count</t>
  </si>
  <si>
    <t>Total nVehEntered across detectors</t>
  </si>
  <si>
    <t>Total nVehContrib across detectors</t>
  </si>
  <si>
    <t>Avg detector speed over intervals (m/s)</t>
  </si>
  <si>
    <t>id</t>
  </si>
  <si>
    <t>flow_base</t>
  </si>
  <si>
    <t>flow_new</t>
  </si>
  <si>
    <t>flow_impr</t>
  </si>
  <si>
    <t>loop_-1088700963_0</t>
  </si>
  <si>
    <t>loop_-1286470869#1_0</t>
  </si>
  <si>
    <t>loop_-13718894_0</t>
  </si>
  <si>
    <t>loop_-13718894_1</t>
  </si>
  <si>
    <t>loop_-624523286_0</t>
  </si>
  <si>
    <t>loop_-7637536#1_0</t>
  </si>
  <si>
    <t>loop_119880451_0</t>
  </si>
  <si>
    <t>loop_119880453#0_0</t>
  </si>
  <si>
    <t>loop_1246214209#0_0</t>
  </si>
  <si>
    <t>loop_1246214209#0_1</t>
  </si>
  <si>
    <t>loop_1246214209#0_2</t>
  </si>
  <si>
    <t>loop_1286470869#0_0</t>
  </si>
  <si>
    <t>loop_624515490#0_0</t>
  </si>
  <si>
    <t>loop_624515490#0_1</t>
  </si>
  <si>
    <t>loop_624515490#0_2</t>
  </si>
  <si>
    <t>loop_624515490#0_3</t>
  </si>
  <si>
    <t>loop_624523286_1</t>
  </si>
  <si>
    <t>loop_867177333_0</t>
  </si>
  <si>
    <t>loop_867177333_1</t>
  </si>
  <si>
    <t>base_new</t>
  </si>
  <si>
    <t>new_impr</t>
  </si>
  <si>
    <t>avg_flow_veh_h_base</t>
  </si>
  <si>
    <t>∆ base_llm</t>
  </si>
  <si>
    <t>∆ llm_llmimpr</t>
  </si>
  <si>
    <t>avg_flow_veh_h_llm</t>
  </si>
  <si>
    <t>avg_flow_veh_h_llmimpr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</si>
</sst>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1" applyBorder="1"/>
    <xf numFmtId="0" fontId="2" fillId="3" borderId="1" xfId="2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</cellXfs>
  <cellStyles count="3">
    <cellStyle name="Bad" xfId="2" builtinId="27"/>
    <cellStyle name="Good" xfId="1" builtinId="26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C39D-3083-492E-A11D-CF7F47305EEA}">
  <dimension ref="A1:D15"/>
  <sheetViews>
    <sheetView workbookViewId="0">
      <selection activeCell="F10" sqref="F10"/>
    </sheetView>
  </sheetViews>
  <sheetFormatPr defaultRowHeight="15" x14ac:dyDescent="0.25"/>
  <cols>
    <col min="1" max="1" width="35.5703125" bestFit="1" customWidth="1"/>
    <col min="2" max="4" width="12" bestFit="1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1">
        <v>3599</v>
      </c>
      <c r="C2" s="1">
        <v>3599</v>
      </c>
      <c r="D2" s="1">
        <v>3599</v>
      </c>
    </row>
    <row r="3" spans="1:4" x14ac:dyDescent="0.25">
      <c r="A3" s="1" t="s">
        <v>5</v>
      </c>
      <c r="B3" s="1">
        <v>1647</v>
      </c>
      <c r="C3" s="2">
        <v>1920</v>
      </c>
      <c r="D3" s="2">
        <v>2276</v>
      </c>
    </row>
    <row r="4" spans="1:4" x14ac:dyDescent="0.25">
      <c r="A4" s="1" t="s">
        <v>6</v>
      </c>
      <c r="B4" s="1">
        <v>58</v>
      </c>
      <c r="C4" s="2">
        <v>6</v>
      </c>
      <c r="D4" s="2">
        <v>0</v>
      </c>
    </row>
    <row r="5" spans="1:4" x14ac:dyDescent="0.25">
      <c r="A5" s="1" t="s">
        <v>7</v>
      </c>
      <c r="B5" s="1">
        <v>129</v>
      </c>
      <c r="C5" s="2">
        <v>120</v>
      </c>
      <c r="D5" s="2">
        <v>97</v>
      </c>
    </row>
    <row r="6" spans="1:4" x14ac:dyDescent="0.25">
      <c r="A6" s="1" t="s">
        <v>8</v>
      </c>
      <c r="B6" s="1">
        <v>3916</v>
      </c>
      <c r="C6" s="2">
        <v>3652</v>
      </c>
      <c r="D6" s="2">
        <v>3319</v>
      </c>
    </row>
    <row r="7" spans="1:4" x14ac:dyDescent="0.25">
      <c r="A7" s="1" t="s">
        <v>9</v>
      </c>
      <c r="B7" s="1">
        <v>1.3232999999999999</v>
      </c>
      <c r="C7" s="2">
        <v>1.64591111111111</v>
      </c>
      <c r="D7" s="2">
        <v>2.2243944444444401</v>
      </c>
    </row>
    <row r="8" spans="1:4" x14ac:dyDescent="0.25">
      <c r="A8" s="1" t="s">
        <v>10</v>
      </c>
      <c r="B8" s="1">
        <v>222.94</v>
      </c>
      <c r="C8" s="2">
        <v>196.26</v>
      </c>
      <c r="D8" s="2">
        <v>166.44</v>
      </c>
    </row>
    <row r="9" spans="1:4" x14ac:dyDescent="0.25">
      <c r="A9" s="1" t="s">
        <v>11</v>
      </c>
      <c r="B9" s="1">
        <v>359.35250833333299</v>
      </c>
      <c r="C9" s="3">
        <v>459.40813611111099</v>
      </c>
      <c r="D9" s="2">
        <v>408.80754444444398</v>
      </c>
    </row>
    <row r="10" spans="1:4" x14ac:dyDescent="0.25">
      <c r="A10" s="1" t="s">
        <v>12</v>
      </c>
      <c r="B10" s="1">
        <v>3600</v>
      </c>
      <c r="C10" s="1">
        <v>3600</v>
      </c>
      <c r="D10" s="1">
        <v>3600</v>
      </c>
    </row>
    <row r="11" spans="1:4" x14ac:dyDescent="0.25">
      <c r="A11" s="1" t="s">
        <v>13</v>
      </c>
      <c r="B11" s="1">
        <v>996</v>
      </c>
      <c r="C11" s="1">
        <v>996</v>
      </c>
      <c r="D11" s="1">
        <v>996</v>
      </c>
    </row>
    <row r="12" spans="1:4" x14ac:dyDescent="0.25">
      <c r="A12" s="1" t="s">
        <v>14</v>
      </c>
      <c r="B12" s="1">
        <v>19</v>
      </c>
      <c r="C12" s="1">
        <v>19</v>
      </c>
      <c r="D12" s="1">
        <v>19</v>
      </c>
    </row>
    <row r="13" spans="1:4" x14ac:dyDescent="0.25">
      <c r="A13" s="1" t="s">
        <v>15</v>
      </c>
      <c r="B13" s="1">
        <v>3986</v>
      </c>
      <c r="C13" s="3">
        <v>4586</v>
      </c>
      <c r="D13" s="2">
        <v>5332</v>
      </c>
    </row>
    <row r="14" spans="1:4" x14ac:dyDescent="0.25">
      <c r="A14" s="1" t="s">
        <v>16</v>
      </c>
      <c r="B14" s="1">
        <v>3947</v>
      </c>
      <c r="C14" s="3">
        <v>4540</v>
      </c>
      <c r="D14" s="2">
        <v>5242</v>
      </c>
    </row>
    <row r="15" spans="1:4" x14ac:dyDescent="0.25">
      <c r="A15" s="1" t="s">
        <v>17</v>
      </c>
      <c r="B15" s="1">
        <v>7.4962370062370001</v>
      </c>
      <c r="C15" s="3">
        <v>5.9223076923076796</v>
      </c>
      <c r="D15" s="2">
        <v>6.1026322751322697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6808-EC45-4C37-AF55-51C64FCB0C9A}">
  <dimension ref="A1:F20"/>
  <sheetViews>
    <sheetView workbookViewId="0">
      <selection activeCell="J7" sqref="J7"/>
    </sheetView>
  </sheetViews>
  <sheetFormatPr defaultRowHeight="15" x14ac:dyDescent="0.25"/>
  <cols>
    <col min="1" max="1" width="20.7109375" bestFit="1" customWidth="1"/>
    <col min="2" max="2" width="9.85546875" bestFit="1" customWidth="1"/>
    <col min="4" max="4" width="9.85546875" bestFit="1" customWidth="1"/>
    <col min="6" max="6" width="9.7109375" bestFit="1" customWidth="1"/>
  </cols>
  <sheetData>
    <row r="1" spans="1:6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41</v>
      </c>
      <c r="F1" s="4" t="s">
        <v>42</v>
      </c>
    </row>
    <row r="2" spans="1:6" x14ac:dyDescent="0.25">
      <c r="A2" s="1" t="s">
        <v>22</v>
      </c>
      <c r="B2" s="1">
        <v>60480</v>
      </c>
      <c r="C2" s="1">
        <v>50520</v>
      </c>
      <c r="D2" s="1">
        <v>17580</v>
      </c>
      <c r="E2" s="1">
        <f>C2-B2</f>
        <v>-9960</v>
      </c>
      <c r="F2" s="1">
        <f>D2-C2</f>
        <v>-32940</v>
      </c>
    </row>
    <row r="3" spans="1:6" x14ac:dyDescent="0.25">
      <c r="A3" s="1" t="s">
        <v>23</v>
      </c>
      <c r="B3" s="1">
        <v>47160</v>
      </c>
      <c r="C3" s="1">
        <v>39660</v>
      </c>
      <c r="D3" s="1">
        <v>15000</v>
      </c>
      <c r="E3" s="1">
        <f t="shared" ref="E3:E20" si="0">C3-B3</f>
        <v>-7500</v>
      </c>
      <c r="F3" s="1">
        <f t="shared" ref="F3:F20" si="1">D3-C3</f>
        <v>-24660</v>
      </c>
    </row>
    <row r="4" spans="1:6" x14ac:dyDescent="0.25">
      <c r="A4" s="1" t="s">
        <v>24</v>
      </c>
      <c r="B4" s="1">
        <v>6180</v>
      </c>
      <c r="C4" s="1">
        <v>16800</v>
      </c>
      <c r="D4" s="1">
        <v>39120</v>
      </c>
      <c r="E4" s="1">
        <f t="shared" si="0"/>
        <v>10620</v>
      </c>
      <c r="F4" s="1">
        <f t="shared" si="1"/>
        <v>22320</v>
      </c>
    </row>
    <row r="5" spans="1:6" x14ac:dyDescent="0.25">
      <c r="A5" s="1" t="s">
        <v>25</v>
      </c>
      <c r="B5" s="1">
        <v>4200</v>
      </c>
      <c r="C5" s="1">
        <v>6360</v>
      </c>
      <c r="D5" s="1">
        <v>17580</v>
      </c>
      <c r="E5" s="1">
        <f t="shared" si="0"/>
        <v>2160</v>
      </c>
      <c r="F5" s="1">
        <f t="shared" si="1"/>
        <v>11220</v>
      </c>
    </row>
    <row r="6" spans="1:6" x14ac:dyDescent="0.25">
      <c r="A6" s="1" t="s">
        <v>26</v>
      </c>
      <c r="B6" s="1">
        <v>12</v>
      </c>
      <c r="C6" s="1">
        <v>2604</v>
      </c>
      <c r="D6" s="1">
        <v>2604</v>
      </c>
      <c r="E6" s="1">
        <f t="shared" si="0"/>
        <v>2592</v>
      </c>
      <c r="F6" s="1">
        <f t="shared" si="1"/>
        <v>0</v>
      </c>
    </row>
    <row r="7" spans="1:6" x14ac:dyDescent="0.25">
      <c r="A7" s="1" t="s">
        <v>27</v>
      </c>
      <c r="B7" s="1">
        <v>2400</v>
      </c>
      <c r="C7" s="1">
        <v>2940</v>
      </c>
      <c r="D7" s="1">
        <v>2340</v>
      </c>
      <c r="E7" s="1">
        <f t="shared" si="0"/>
        <v>540</v>
      </c>
      <c r="F7" s="1">
        <f t="shared" si="1"/>
        <v>-600</v>
      </c>
    </row>
    <row r="8" spans="1:6" x14ac:dyDescent="0.25">
      <c r="A8" s="1" t="s">
        <v>28</v>
      </c>
      <c r="B8" s="1">
        <v>4128</v>
      </c>
      <c r="C8" s="1">
        <v>4128</v>
      </c>
      <c r="D8" s="1">
        <v>3156</v>
      </c>
      <c r="E8" s="1">
        <f t="shared" si="0"/>
        <v>0</v>
      </c>
      <c r="F8" s="1">
        <f t="shared" si="1"/>
        <v>-972</v>
      </c>
    </row>
    <row r="9" spans="1:6" x14ac:dyDescent="0.25">
      <c r="A9" s="1" t="s">
        <v>29</v>
      </c>
      <c r="B9" s="1">
        <v>5040</v>
      </c>
      <c r="C9" s="1">
        <v>12960</v>
      </c>
      <c r="D9" s="1">
        <v>20820</v>
      </c>
      <c r="E9" s="1">
        <f t="shared" si="0"/>
        <v>7920</v>
      </c>
      <c r="F9" s="1">
        <f t="shared" si="1"/>
        <v>7860</v>
      </c>
    </row>
    <row r="10" spans="1:6" x14ac:dyDescent="0.25">
      <c r="A10" s="1" t="s">
        <v>30</v>
      </c>
      <c r="B10" s="1">
        <v>0</v>
      </c>
      <c r="C10" s="1">
        <v>0</v>
      </c>
      <c r="D10" s="1">
        <v>540</v>
      </c>
      <c r="E10" s="1">
        <f t="shared" si="0"/>
        <v>0</v>
      </c>
      <c r="F10" s="1">
        <f t="shared" si="1"/>
        <v>540</v>
      </c>
    </row>
    <row r="11" spans="1:6" x14ac:dyDescent="0.25">
      <c r="A11" s="1" t="s">
        <v>31</v>
      </c>
      <c r="B11" s="1">
        <v>1320</v>
      </c>
      <c r="C11" s="1">
        <v>3660</v>
      </c>
      <c r="D11" s="1">
        <v>4860</v>
      </c>
      <c r="E11" s="1">
        <f t="shared" si="0"/>
        <v>2340</v>
      </c>
      <c r="F11" s="1">
        <f t="shared" si="1"/>
        <v>1200</v>
      </c>
    </row>
    <row r="12" spans="1:6" x14ac:dyDescent="0.25">
      <c r="A12" s="1" t="s">
        <v>32</v>
      </c>
      <c r="B12" s="1">
        <v>480</v>
      </c>
      <c r="C12" s="1">
        <v>1320</v>
      </c>
      <c r="D12" s="1">
        <v>2460</v>
      </c>
      <c r="E12" s="1">
        <f t="shared" si="0"/>
        <v>840</v>
      </c>
      <c r="F12" s="1">
        <f t="shared" si="1"/>
        <v>1140</v>
      </c>
    </row>
    <row r="13" spans="1:6" x14ac:dyDescent="0.25">
      <c r="A13" s="1" t="s">
        <v>33</v>
      </c>
      <c r="B13" s="1">
        <v>16680</v>
      </c>
      <c r="C13" s="1">
        <v>30900</v>
      </c>
      <c r="D13" s="1">
        <v>58500</v>
      </c>
      <c r="E13" s="1">
        <f t="shared" si="0"/>
        <v>14220</v>
      </c>
      <c r="F13" s="1">
        <f t="shared" si="1"/>
        <v>27600</v>
      </c>
    </row>
    <row r="14" spans="1:6" x14ac:dyDescent="0.25">
      <c r="A14" s="1" t="s">
        <v>34</v>
      </c>
      <c r="B14" s="1">
        <v>2700</v>
      </c>
      <c r="C14" s="1">
        <v>2880</v>
      </c>
      <c r="D14" s="1">
        <v>9900</v>
      </c>
      <c r="E14" s="1">
        <f t="shared" si="0"/>
        <v>180</v>
      </c>
      <c r="F14" s="1">
        <f t="shared" si="1"/>
        <v>7020</v>
      </c>
    </row>
    <row r="15" spans="1:6" x14ac:dyDescent="0.25">
      <c r="A15" s="1" t="s">
        <v>35</v>
      </c>
      <c r="B15" s="1">
        <v>60</v>
      </c>
      <c r="C15" s="1">
        <v>600</v>
      </c>
      <c r="D15" s="1">
        <v>1920</v>
      </c>
      <c r="E15" s="1">
        <f t="shared" si="0"/>
        <v>540</v>
      </c>
      <c r="F15" s="1">
        <f t="shared" si="1"/>
        <v>1320</v>
      </c>
    </row>
    <row r="16" spans="1:6" x14ac:dyDescent="0.25">
      <c r="A16" s="1" t="s">
        <v>36</v>
      </c>
      <c r="B16" s="1">
        <v>3360</v>
      </c>
      <c r="C16" s="1">
        <v>7620</v>
      </c>
      <c r="D16" s="1">
        <v>26700</v>
      </c>
      <c r="E16" s="1">
        <f t="shared" si="0"/>
        <v>4260</v>
      </c>
      <c r="F16" s="1">
        <f t="shared" si="1"/>
        <v>19080</v>
      </c>
    </row>
    <row r="17" spans="1:6" x14ac:dyDescent="0.25">
      <c r="A17" s="1" t="s">
        <v>37</v>
      </c>
      <c r="B17" s="1">
        <v>1920</v>
      </c>
      <c r="C17" s="1">
        <v>3120</v>
      </c>
      <c r="D17" s="1">
        <v>9480</v>
      </c>
      <c r="E17" s="1">
        <f t="shared" si="0"/>
        <v>1200</v>
      </c>
      <c r="F17" s="1">
        <f t="shared" si="1"/>
        <v>6360</v>
      </c>
    </row>
    <row r="18" spans="1:6" x14ac:dyDescent="0.25">
      <c r="A18" s="1" t="s">
        <v>38</v>
      </c>
      <c r="B18" s="1">
        <v>4440</v>
      </c>
      <c r="C18" s="1">
        <v>3636</v>
      </c>
      <c r="D18" s="1">
        <v>5712</v>
      </c>
      <c r="E18" s="1">
        <f t="shared" si="0"/>
        <v>-804</v>
      </c>
      <c r="F18" s="1">
        <f t="shared" si="1"/>
        <v>2076</v>
      </c>
    </row>
    <row r="19" spans="1:6" x14ac:dyDescent="0.25">
      <c r="A19" s="1" t="s">
        <v>39</v>
      </c>
      <c r="B19" s="1">
        <v>24300</v>
      </c>
      <c r="C19" s="1">
        <v>24660</v>
      </c>
      <c r="D19" s="1">
        <v>23100</v>
      </c>
      <c r="E19" s="1">
        <f t="shared" si="0"/>
        <v>360</v>
      </c>
      <c r="F19" s="1">
        <f t="shared" si="1"/>
        <v>-1560</v>
      </c>
    </row>
    <row r="20" spans="1:6" x14ac:dyDescent="0.25">
      <c r="A20" s="1" t="s">
        <v>40</v>
      </c>
      <c r="B20" s="1">
        <v>17640</v>
      </c>
      <c r="C20" s="1">
        <v>16560</v>
      </c>
      <c r="D20" s="1">
        <v>7260</v>
      </c>
      <c r="E20" s="1">
        <f t="shared" si="0"/>
        <v>-1080</v>
      </c>
      <c r="F20" s="1">
        <f t="shared" si="1"/>
        <v>-9300</v>
      </c>
    </row>
  </sheetData>
  <conditionalFormatting sqref="E2:F20">
    <cfRule type="cellIs" dxfId="9" priority="1" operator="equal">
      <formula>0</formula>
    </cfRule>
    <cfRule type="cellIs" dxfId="8" priority="2" operator="lessThan">
      <formula>0</formula>
    </cfRule>
    <cfRule type="cellIs" dxfId="7" priority="3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39A9-4D2A-4297-94A6-D215867E2DE6}">
  <dimension ref="A1:F20"/>
  <sheetViews>
    <sheetView tabSelected="1" workbookViewId="0">
      <selection activeCell="E25" sqref="E25"/>
    </sheetView>
  </sheetViews>
  <sheetFormatPr defaultRowHeight="15" x14ac:dyDescent="0.25"/>
  <cols>
    <col min="1" max="1" width="20.7109375" bestFit="1" customWidth="1"/>
    <col min="2" max="2" width="20.28515625" bestFit="1" customWidth="1"/>
    <col min="3" max="3" width="18.85546875" bestFit="1" customWidth="1"/>
    <col min="4" max="4" width="23.140625" bestFit="1" customWidth="1"/>
    <col min="5" max="5" width="10.7109375" bestFit="1" customWidth="1"/>
    <col min="6" max="6" width="13.42578125" bestFit="1" customWidth="1"/>
  </cols>
  <sheetData>
    <row r="1" spans="1:6" x14ac:dyDescent="0.25">
      <c r="A1" s="4" t="s">
        <v>18</v>
      </c>
      <c r="B1" s="4" t="s">
        <v>43</v>
      </c>
      <c r="C1" s="4" t="s">
        <v>46</v>
      </c>
      <c r="D1" s="4" t="s">
        <v>47</v>
      </c>
      <c r="E1" s="6" t="s">
        <v>44</v>
      </c>
      <c r="F1" s="4" t="s">
        <v>45</v>
      </c>
    </row>
    <row r="2" spans="1:6" x14ac:dyDescent="0.25">
      <c r="A2" s="4" t="s">
        <v>22</v>
      </c>
      <c r="B2" s="1">
        <v>1008</v>
      </c>
      <c r="C2" s="1">
        <v>842</v>
      </c>
      <c r="D2" s="1">
        <v>293</v>
      </c>
      <c r="E2" s="1">
        <f>C2-B2</f>
        <v>-166</v>
      </c>
      <c r="F2" s="1">
        <f>D2-C2</f>
        <v>-549</v>
      </c>
    </row>
    <row r="3" spans="1:6" x14ac:dyDescent="0.25">
      <c r="A3" s="4" t="s">
        <v>23</v>
      </c>
      <c r="B3" s="1">
        <v>786</v>
      </c>
      <c r="C3" s="1">
        <v>662</v>
      </c>
      <c r="D3" s="1">
        <v>251</v>
      </c>
      <c r="E3" s="1">
        <f t="shared" ref="E3:E20" si="0">C3-B3</f>
        <v>-124</v>
      </c>
      <c r="F3" s="1">
        <f t="shared" ref="F3:F20" si="1">D3-C3</f>
        <v>-411</v>
      </c>
    </row>
    <row r="4" spans="1:6" x14ac:dyDescent="0.25">
      <c r="A4" s="4" t="s">
        <v>24</v>
      </c>
      <c r="B4" s="1">
        <v>106</v>
      </c>
      <c r="C4" s="1">
        <v>281</v>
      </c>
      <c r="D4" s="1">
        <v>652</v>
      </c>
      <c r="E4" s="1">
        <f t="shared" si="0"/>
        <v>175</v>
      </c>
      <c r="F4" s="1">
        <f t="shared" si="1"/>
        <v>371</v>
      </c>
    </row>
    <row r="5" spans="1:6" x14ac:dyDescent="0.25">
      <c r="A5" s="4" t="s">
        <v>25</v>
      </c>
      <c r="B5" s="1">
        <v>72</v>
      </c>
      <c r="C5" s="1">
        <v>107</v>
      </c>
      <c r="D5" s="1">
        <v>293</v>
      </c>
      <c r="E5" s="1">
        <f t="shared" si="0"/>
        <v>35</v>
      </c>
      <c r="F5" s="1">
        <f t="shared" si="1"/>
        <v>186</v>
      </c>
    </row>
    <row r="6" spans="1:6" x14ac:dyDescent="0.25">
      <c r="A6" s="4" t="s">
        <v>26</v>
      </c>
      <c r="B6" s="1">
        <v>11</v>
      </c>
      <c r="C6" s="1">
        <v>245</v>
      </c>
      <c r="D6" s="1">
        <v>242</v>
      </c>
      <c r="E6" s="1">
        <f t="shared" si="0"/>
        <v>234</v>
      </c>
      <c r="F6" s="1">
        <f t="shared" si="1"/>
        <v>-3</v>
      </c>
    </row>
    <row r="7" spans="1:6" x14ac:dyDescent="0.25">
      <c r="A7" s="4" t="s">
        <v>27</v>
      </c>
      <c r="B7" s="1">
        <v>46</v>
      </c>
      <c r="C7" s="1">
        <v>51</v>
      </c>
      <c r="D7" s="1">
        <v>40</v>
      </c>
      <c r="E7" s="1">
        <f t="shared" si="0"/>
        <v>5</v>
      </c>
      <c r="F7" s="1">
        <f t="shared" si="1"/>
        <v>-11</v>
      </c>
    </row>
    <row r="8" spans="1:6" x14ac:dyDescent="0.25">
      <c r="A8" s="4" t="s">
        <v>28</v>
      </c>
      <c r="B8" s="1">
        <v>344</v>
      </c>
      <c r="C8" s="1">
        <v>345</v>
      </c>
      <c r="D8" s="1">
        <v>263</v>
      </c>
      <c r="E8" s="1">
        <f t="shared" si="0"/>
        <v>1</v>
      </c>
      <c r="F8" s="1">
        <f t="shared" si="1"/>
        <v>-82</v>
      </c>
    </row>
    <row r="9" spans="1:6" x14ac:dyDescent="0.25">
      <c r="A9" s="4" t="s">
        <v>29</v>
      </c>
      <c r="B9" s="1">
        <v>84</v>
      </c>
      <c r="C9" s="1">
        <v>216</v>
      </c>
      <c r="D9" s="1">
        <v>348</v>
      </c>
      <c r="E9" s="1">
        <f t="shared" si="0"/>
        <v>132</v>
      </c>
      <c r="F9" s="1">
        <f t="shared" si="1"/>
        <v>132</v>
      </c>
    </row>
    <row r="10" spans="1:6" x14ac:dyDescent="0.25">
      <c r="A10" s="4" t="s">
        <v>30</v>
      </c>
      <c r="B10" s="1">
        <v>1</v>
      </c>
      <c r="C10" s="1">
        <v>0</v>
      </c>
      <c r="D10" s="1">
        <v>10</v>
      </c>
      <c r="E10" s="1">
        <f t="shared" si="0"/>
        <v>-1</v>
      </c>
      <c r="F10" s="1">
        <f t="shared" si="1"/>
        <v>10</v>
      </c>
    </row>
    <row r="11" spans="1:6" x14ac:dyDescent="0.25">
      <c r="A11" s="4" t="s">
        <v>31</v>
      </c>
      <c r="B11" s="1">
        <v>23</v>
      </c>
      <c r="C11" s="1">
        <v>61</v>
      </c>
      <c r="D11" s="1">
        <v>92</v>
      </c>
      <c r="E11" s="1">
        <f t="shared" si="0"/>
        <v>38</v>
      </c>
      <c r="F11" s="1">
        <f t="shared" si="1"/>
        <v>31</v>
      </c>
    </row>
    <row r="12" spans="1:6" x14ac:dyDescent="0.25">
      <c r="A12" s="4" t="s">
        <v>32</v>
      </c>
      <c r="B12" s="1">
        <v>8</v>
      </c>
      <c r="C12" s="1">
        <v>23</v>
      </c>
      <c r="D12" s="1">
        <v>46</v>
      </c>
      <c r="E12" s="1">
        <f t="shared" si="0"/>
        <v>15</v>
      </c>
      <c r="F12" s="1">
        <f t="shared" si="1"/>
        <v>23</v>
      </c>
    </row>
    <row r="13" spans="1:6" x14ac:dyDescent="0.25">
      <c r="A13" s="4" t="s">
        <v>33</v>
      </c>
      <c r="B13" s="1">
        <v>278</v>
      </c>
      <c r="C13" s="1">
        <v>515</v>
      </c>
      <c r="D13" s="1">
        <v>976</v>
      </c>
      <c r="E13" s="1">
        <f t="shared" si="0"/>
        <v>237</v>
      </c>
      <c r="F13" s="1">
        <f t="shared" si="1"/>
        <v>461</v>
      </c>
    </row>
    <row r="14" spans="1:6" x14ac:dyDescent="0.25">
      <c r="A14" s="4" t="s">
        <v>34</v>
      </c>
      <c r="B14" s="1">
        <v>48</v>
      </c>
      <c r="C14" s="1">
        <v>49</v>
      </c>
      <c r="D14" s="1">
        <v>167</v>
      </c>
      <c r="E14" s="1">
        <f t="shared" si="0"/>
        <v>1</v>
      </c>
      <c r="F14" s="1">
        <f t="shared" si="1"/>
        <v>118</v>
      </c>
    </row>
    <row r="15" spans="1:6" x14ac:dyDescent="0.25">
      <c r="A15" s="4" t="s">
        <v>35</v>
      </c>
      <c r="B15" s="1">
        <v>3</v>
      </c>
      <c r="C15" s="1">
        <v>14</v>
      </c>
      <c r="D15" s="1">
        <v>63</v>
      </c>
      <c r="E15" s="1">
        <f t="shared" si="0"/>
        <v>11</v>
      </c>
      <c r="F15" s="1">
        <f t="shared" si="1"/>
        <v>49</v>
      </c>
    </row>
    <row r="16" spans="1:6" x14ac:dyDescent="0.25">
      <c r="A16" s="4" t="s">
        <v>36</v>
      </c>
      <c r="B16" s="1">
        <v>64</v>
      </c>
      <c r="C16" s="1">
        <v>129</v>
      </c>
      <c r="D16" s="1">
        <v>448</v>
      </c>
      <c r="E16" s="1">
        <f t="shared" si="0"/>
        <v>65</v>
      </c>
      <c r="F16" s="1">
        <f t="shared" si="1"/>
        <v>319</v>
      </c>
    </row>
    <row r="17" spans="1:6" x14ac:dyDescent="0.25">
      <c r="A17" s="4" t="s">
        <v>37</v>
      </c>
      <c r="B17" s="1">
        <v>32</v>
      </c>
      <c r="C17" s="1">
        <v>52</v>
      </c>
      <c r="D17" s="1">
        <v>158</v>
      </c>
      <c r="E17" s="1">
        <f t="shared" si="0"/>
        <v>20</v>
      </c>
      <c r="F17" s="1">
        <f t="shared" si="1"/>
        <v>106</v>
      </c>
    </row>
    <row r="18" spans="1:6" x14ac:dyDescent="0.25">
      <c r="A18" s="4" t="s">
        <v>38</v>
      </c>
      <c r="B18" s="1">
        <v>372</v>
      </c>
      <c r="C18" s="1">
        <v>305</v>
      </c>
      <c r="D18" s="1">
        <v>477</v>
      </c>
      <c r="E18" s="1">
        <f t="shared" si="0"/>
        <v>-67</v>
      </c>
      <c r="F18" s="1">
        <f t="shared" si="1"/>
        <v>172</v>
      </c>
    </row>
    <row r="19" spans="1:6" x14ac:dyDescent="0.25">
      <c r="A19" s="4" t="s">
        <v>39</v>
      </c>
      <c r="B19" s="1">
        <v>406</v>
      </c>
      <c r="C19" s="1">
        <v>412</v>
      </c>
      <c r="D19" s="1">
        <v>391</v>
      </c>
      <c r="E19" s="1">
        <f t="shared" si="0"/>
        <v>6</v>
      </c>
      <c r="F19" s="1">
        <f t="shared" si="1"/>
        <v>-21</v>
      </c>
    </row>
    <row r="20" spans="1:6" x14ac:dyDescent="0.25">
      <c r="A20" s="4" t="s">
        <v>40</v>
      </c>
      <c r="B20" s="1">
        <v>294</v>
      </c>
      <c r="C20" s="1">
        <v>277</v>
      </c>
      <c r="D20" s="1">
        <v>122</v>
      </c>
      <c r="E20" s="1">
        <f t="shared" si="0"/>
        <v>-17</v>
      </c>
      <c r="F20" s="1">
        <f t="shared" si="1"/>
        <v>-155</v>
      </c>
    </row>
  </sheetData>
  <conditionalFormatting sqref="E2:F20">
    <cfRule type="cellIs" dxfId="4" priority="2" operator="greaterThan">
      <formula>0</formula>
    </cfRule>
    <cfRule type="cellIs" dxfId="5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Per_Detector</vt:lpstr>
      <vt:lpstr>Per_detector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Juin Wong</dc:creator>
  <cp:lastModifiedBy>Han Juin Wong</cp:lastModifiedBy>
  <dcterms:created xsi:type="dcterms:W3CDTF">2025-10-13T04:25:27Z</dcterms:created>
  <dcterms:modified xsi:type="dcterms:W3CDTF">2025-10-14T23:31:48Z</dcterms:modified>
</cp:coreProperties>
</file>